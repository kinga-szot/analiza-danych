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AC675D8-CC63-44E3-A295-53A3B76048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" l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G12" i="1"/>
  <c r="E12" i="1"/>
  <c r="C12" i="1"/>
  <c r="L10" i="1"/>
  <c r="L11" i="1" s="1"/>
</calcChain>
</file>

<file path=xl/sharedStrings.xml><?xml version="1.0" encoding="utf-8"?>
<sst xmlns="http://schemas.openxmlformats.org/spreadsheetml/2006/main" count="30" uniqueCount="27">
  <si>
    <t>Korzystając z danych rzeczywistych zawartych w Banku Danych Lokalnych GUS (bdl.stat.gov.pl) dotyczących wybranego zjawiska za okres min. 10 lat wyznacz i zinterpretuj poszczególne miary dla wybranego roku:</t>
  </si>
  <si>
    <t>1. przyrosty absolutne o podstawie stałej i zmiennej,</t>
  </si>
  <si>
    <t>2. przyrosty względne o podstawie stałej i zmiennej,</t>
  </si>
  <si>
    <t>3. indywidualne indeksy dynamiki o podstawie stałej i zmiennej,</t>
  </si>
  <si>
    <t>4. przeciętne roczne tempo zmian.</t>
  </si>
  <si>
    <t>przyrosty absolutne</t>
  </si>
  <si>
    <t>przyrosty względne</t>
  </si>
  <si>
    <t>indeksy dynamiki</t>
  </si>
  <si>
    <t>ig</t>
  </si>
  <si>
    <t>Liczba aktywnych subskrybentów z roku na rok rosła średnio o 22,58 %.</t>
  </si>
  <si>
    <t>Rok</t>
  </si>
  <si>
    <t>Aktywni subskrybenci</t>
  </si>
  <si>
    <t>yt/0</t>
  </si>
  <si>
    <t>yt/t-1</t>
  </si>
  <si>
    <t>wt/0</t>
  </si>
  <si>
    <t>wt/t-1</t>
  </si>
  <si>
    <t>it/0</t>
  </si>
  <si>
    <t>it/t-1</t>
  </si>
  <si>
    <t>T</t>
  </si>
  <si>
    <t>%</t>
  </si>
  <si>
    <t>-</t>
  </si>
  <si>
    <t>W roku 2022 liczba aktywnych subskrybentów była wyższa o 560 tys. niż w roku 2014.</t>
  </si>
  <si>
    <t>W roku 2019 liczba aktywnych subskrybentów była wyższa o 80 tys. niż w roku 2018.</t>
  </si>
  <si>
    <t>W roku 2016 liczba aktywnych subskrybentów wzrosła o 50% w porównaniu do roku 2014.</t>
  </si>
  <si>
    <t>W roku 2019 liczba aktywnych subskrybentów wzrosła o 27,59% w porównaniu do roku 2018.</t>
  </si>
  <si>
    <t>W roku 2023 liczba aktywnych subskrybentów stanowiła 625% liczby z roku 2014.</t>
  </si>
  <si>
    <t>W roku 2021 liczba aktywnych subskrybentów stanowiła 122,92% liczby z roku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</si>
</sst>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U11" sqref="U11"/>
    </sheetView>
  </sheetViews>
  <sheetFormatPr defaultRowHeight="15"/>
  <cols>
    <col min="2" max="2" width="22.7109375" customWidth="1"/>
  </cols>
  <sheetData>
    <row r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4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4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4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4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10" spans="1:14">
      <c r="C10" s="1" t="s">
        <v>5</v>
      </c>
      <c r="D10" s="1"/>
      <c r="E10" s="2" t="s">
        <v>6</v>
      </c>
      <c r="F10" s="2"/>
      <c r="G10" s="3" t="s">
        <v>7</v>
      </c>
      <c r="H10" s="3"/>
      <c r="K10" t="s">
        <v>8</v>
      </c>
      <c r="L10">
        <f>(B21/B12)^(1/9)</f>
        <v>1.225832448053191</v>
      </c>
      <c r="N10" t="s">
        <v>9</v>
      </c>
    </row>
    <row r="11" spans="1:14">
      <c r="A11" s="4" t="s">
        <v>10</v>
      </c>
      <c r="B11" s="4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K11" t="s">
        <v>18</v>
      </c>
      <c r="L11" s="5">
        <f>(L10-1)*100</f>
        <v>22.583244805319104</v>
      </c>
      <c r="M11" t="s">
        <v>19</v>
      </c>
      <c r="N11" t="s">
        <v>9</v>
      </c>
    </row>
    <row r="12" spans="1:14">
      <c r="A12" s="4">
        <v>2014</v>
      </c>
      <c r="B12" s="4">
        <v>120</v>
      </c>
      <c r="C12">
        <f>B12-$B$12</f>
        <v>0</v>
      </c>
      <c r="D12" s="6" t="s">
        <v>20</v>
      </c>
      <c r="E12">
        <f>(B12-$B$12)/$B$12</f>
        <v>0</v>
      </c>
      <c r="F12" s="6" t="s">
        <v>20</v>
      </c>
      <c r="G12">
        <f>B12/$B$12</f>
        <v>1</v>
      </c>
      <c r="H12" s="6" t="s">
        <v>20</v>
      </c>
    </row>
    <row r="13" spans="1:14">
      <c r="A13" s="4">
        <v>2015</v>
      </c>
      <c r="B13" s="4">
        <v>145</v>
      </c>
      <c r="C13">
        <f>B13-$B$12</f>
        <v>25</v>
      </c>
      <c r="D13">
        <f>(B13-B12)</f>
        <v>25</v>
      </c>
      <c r="E13">
        <f t="shared" ref="E13:E21" si="0">(B13-$B$12)/$B$12</f>
        <v>0.20833333333333334</v>
      </c>
      <c r="F13">
        <f>(B13-B12)/B12</f>
        <v>0.20833333333333334</v>
      </c>
      <c r="G13">
        <f t="shared" ref="G13:G21" si="1">B13/$B$12</f>
        <v>1.2083333333333333</v>
      </c>
      <c r="H13">
        <f>B13/B12</f>
        <v>1.2083333333333333</v>
      </c>
    </row>
    <row r="14" spans="1:14">
      <c r="A14" s="4">
        <v>2016</v>
      </c>
      <c r="B14" s="4">
        <v>180</v>
      </c>
      <c r="C14">
        <f t="shared" ref="C14:C22" si="2">B14-$B$12</f>
        <v>60</v>
      </c>
      <c r="D14">
        <f>(B14-B13)</f>
        <v>35</v>
      </c>
      <c r="E14" s="2">
        <f t="shared" si="0"/>
        <v>0.5</v>
      </c>
      <c r="F14">
        <f t="shared" ref="F14:F21" si="3">(B14-B13)/B13</f>
        <v>0.2413793103448276</v>
      </c>
      <c r="G14">
        <f t="shared" si="1"/>
        <v>1.5</v>
      </c>
      <c r="H14">
        <f t="shared" ref="H14:H21" si="4">B14/B13</f>
        <v>1.2413793103448276</v>
      </c>
    </row>
    <row r="15" spans="1:14">
      <c r="A15" s="4">
        <v>2017</v>
      </c>
      <c r="B15" s="4">
        <v>230</v>
      </c>
      <c r="C15">
        <f t="shared" si="2"/>
        <v>110</v>
      </c>
      <c r="D15">
        <f t="shared" ref="D15:D22" si="5">(B15-B14)</f>
        <v>50</v>
      </c>
      <c r="E15">
        <f t="shared" si="0"/>
        <v>0.91666666666666663</v>
      </c>
      <c r="F15">
        <f t="shared" si="3"/>
        <v>0.27777777777777779</v>
      </c>
      <c r="G15">
        <f t="shared" si="1"/>
        <v>1.9166666666666667</v>
      </c>
      <c r="H15">
        <f t="shared" si="4"/>
        <v>1.2777777777777777</v>
      </c>
    </row>
    <row r="16" spans="1:14">
      <c r="A16" s="4">
        <v>2018</v>
      </c>
      <c r="B16" s="4">
        <v>290</v>
      </c>
      <c r="C16">
        <f t="shared" si="2"/>
        <v>170</v>
      </c>
      <c r="D16">
        <f t="shared" si="5"/>
        <v>60</v>
      </c>
      <c r="E16">
        <f t="shared" si="0"/>
        <v>1.4166666666666667</v>
      </c>
      <c r="F16">
        <f t="shared" si="3"/>
        <v>0.2608695652173913</v>
      </c>
      <c r="G16">
        <f t="shared" si="1"/>
        <v>2.4166666666666665</v>
      </c>
      <c r="H16">
        <f t="shared" si="4"/>
        <v>1.2608695652173914</v>
      </c>
    </row>
    <row r="17" spans="1:8">
      <c r="A17" s="4">
        <v>2019</v>
      </c>
      <c r="B17" s="4">
        <v>370</v>
      </c>
      <c r="C17">
        <f t="shared" si="2"/>
        <v>250</v>
      </c>
      <c r="D17" s="1">
        <f t="shared" si="5"/>
        <v>80</v>
      </c>
      <c r="E17">
        <f t="shared" si="0"/>
        <v>2.0833333333333335</v>
      </c>
      <c r="F17" s="2">
        <f>(B17-B16)/B16</f>
        <v>0.27586206896551724</v>
      </c>
      <c r="G17">
        <f>B17/$B$12</f>
        <v>3.0833333333333335</v>
      </c>
      <c r="H17">
        <f t="shared" si="4"/>
        <v>1.2758620689655173</v>
      </c>
    </row>
    <row r="18" spans="1:8">
      <c r="A18" s="4">
        <v>2020</v>
      </c>
      <c r="B18" s="4">
        <v>480</v>
      </c>
      <c r="C18">
        <f t="shared" si="2"/>
        <v>360</v>
      </c>
      <c r="D18">
        <f t="shared" si="5"/>
        <v>110</v>
      </c>
      <c r="E18">
        <f t="shared" si="0"/>
        <v>3</v>
      </c>
      <c r="F18">
        <f t="shared" si="3"/>
        <v>0.29729729729729731</v>
      </c>
      <c r="G18">
        <f t="shared" si="1"/>
        <v>4</v>
      </c>
      <c r="H18">
        <f t="shared" si="4"/>
        <v>1.2972972972972974</v>
      </c>
    </row>
    <row r="19" spans="1:8">
      <c r="A19" s="4">
        <v>2021</v>
      </c>
      <c r="B19" s="4">
        <v>590</v>
      </c>
      <c r="C19">
        <f t="shared" si="2"/>
        <v>470</v>
      </c>
      <c r="D19">
        <f t="shared" si="5"/>
        <v>110</v>
      </c>
      <c r="E19">
        <f t="shared" si="0"/>
        <v>3.9166666666666665</v>
      </c>
      <c r="F19">
        <f t="shared" si="3"/>
        <v>0.22916666666666666</v>
      </c>
      <c r="G19">
        <f t="shared" si="1"/>
        <v>4.916666666666667</v>
      </c>
      <c r="H19" s="3">
        <f t="shared" si="4"/>
        <v>1.2291666666666667</v>
      </c>
    </row>
    <row r="20" spans="1:8">
      <c r="A20" s="4">
        <v>2022</v>
      </c>
      <c r="B20" s="4">
        <v>680</v>
      </c>
      <c r="C20" s="1">
        <f t="shared" si="2"/>
        <v>560</v>
      </c>
      <c r="D20">
        <f t="shared" si="5"/>
        <v>90</v>
      </c>
      <c r="E20">
        <f t="shared" si="0"/>
        <v>4.666666666666667</v>
      </c>
      <c r="F20">
        <f t="shared" si="3"/>
        <v>0.15254237288135594</v>
      </c>
      <c r="G20">
        <f t="shared" si="1"/>
        <v>5.666666666666667</v>
      </c>
      <c r="H20">
        <f t="shared" si="4"/>
        <v>1.152542372881356</v>
      </c>
    </row>
    <row r="21" spans="1:8">
      <c r="A21" s="4">
        <v>2023</v>
      </c>
      <c r="B21" s="4">
        <v>750</v>
      </c>
      <c r="C21">
        <f t="shared" si="2"/>
        <v>630</v>
      </c>
      <c r="D21">
        <f t="shared" si="5"/>
        <v>70</v>
      </c>
      <c r="E21">
        <f t="shared" si="0"/>
        <v>5.25</v>
      </c>
      <c r="F21">
        <f t="shared" si="3"/>
        <v>0.10294117647058823</v>
      </c>
      <c r="G21" s="3">
        <f>B21/$B$12</f>
        <v>6.25</v>
      </c>
      <c r="H21">
        <f t="shared" si="4"/>
        <v>1.1029411764705883</v>
      </c>
    </row>
    <row r="22" spans="1:8" ht="198">
      <c r="C22" s="7" t="s">
        <v>21</v>
      </c>
      <c r="D22" s="7" t="s">
        <v>22</v>
      </c>
      <c r="E22" s="7" t="s">
        <v>23</v>
      </c>
      <c r="F22" s="7" t="s">
        <v>24</v>
      </c>
      <c r="G22" s="7" t="s">
        <v>25</v>
      </c>
      <c r="H22" s="7" t="s">
        <v>26</v>
      </c>
    </row>
  </sheetData>
  <mergeCells count="5">
    <mergeCell ref="A1:K3"/>
    <mergeCell ref="A4:K4"/>
    <mergeCell ref="A5:K5"/>
    <mergeCell ref="A6:K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2026-09-14T22:05:19Z</dcterms:created>
  <dcterms:modified xsi:type="dcterms:W3CDTF">2026-09-14T22:09:52Z</dcterms:modified>
  <cp:category/>
  <cp:contentStatus/>
</cp:coreProperties>
</file>